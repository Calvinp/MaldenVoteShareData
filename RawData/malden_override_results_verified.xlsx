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Precinct" sheetId="1" state="visible" r:id="rId1"/>
    <sheet xmlns:r="http://schemas.openxmlformats.org/officeDocument/2006/relationships" name="By W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1" fontId="0" fillId="0" borderId="0" pivotButton="0" quotePrefix="0" xfId="0"/>
    <xf numFmtId="164" fontId="0" fillId="0" borderId="0" pivotButton="0" quotePrefix="0" xfId="0"/>
    <xf numFmtId="0" fontId="2" fillId="4" borderId="0" pivotButton="0" quotePrefix="0" xfId="0"/>
    <xf numFmtId="1" fontId="2" fillId="4" borderId="0" pivotButton="0" quotePrefix="0" xfId="0"/>
    <xf numFmtId="164" fontId="2" fillId="4" borderId="0" pivotButton="0" quotePrefix="0" xfId="0"/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2" customWidth="1" min="11" max="11"/>
  </cols>
  <sheetData>
    <row r="1">
      <c r="A1" s="1" t="inlineStr">
        <is>
          <t>March 31, 2026 Malden Prop 2½ Override — Verified Results by Precinct</t>
        </is>
      </c>
    </row>
    <row r="2">
      <c r="A2" t="inlineStr">
        <is>
          <t>YES % is calculated as YES / (YES + NO), excluding blank ballots.</t>
        </is>
      </c>
    </row>
    <row r="3">
      <c r="A3" s="2" t="inlineStr">
        <is>
          <t>Precinct</t>
        </is>
      </c>
      <c r="B3" s="2" t="inlineStr">
        <is>
          <t>Ward</t>
        </is>
      </c>
      <c r="C3" s="2" t="inlineStr">
        <is>
          <t>Q1A Yes</t>
        </is>
      </c>
      <c r="D3" s="2" t="inlineStr">
        <is>
          <t>Q1A No</t>
        </is>
      </c>
      <c r="E3" s="2" t="inlineStr">
        <is>
          <t>Q1A Blank</t>
        </is>
      </c>
      <c r="F3" s="2" t="inlineStr">
        <is>
          <t>Q1A Yes %</t>
        </is>
      </c>
      <c r="G3" s="2" t="inlineStr">
        <is>
          <t>Q1B Yes</t>
        </is>
      </c>
      <c r="H3" s="2" t="inlineStr">
        <is>
          <t>Q1B No</t>
        </is>
      </c>
      <c r="I3" s="2" t="inlineStr">
        <is>
          <t>Q1B Blank</t>
        </is>
      </c>
      <c r="J3" s="2" t="inlineStr">
        <is>
          <t>Q1B Yes %</t>
        </is>
      </c>
      <c r="K3" s="2" t="inlineStr">
        <is>
          <t>Total Ballots</t>
        </is>
      </c>
    </row>
    <row r="4">
      <c r="A4" t="inlineStr">
        <is>
          <t>1-1</t>
        </is>
      </c>
      <c r="B4" t="inlineStr">
        <is>
          <t>1</t>
        </is>
      </c>
      <c r="C4" s="3" t="n">
        <v>48</v>
      </c>
      <c r="D4" s="3" t="n">
        <v>58</v>
      </c>
      <c r="E4" s="3" t="n">
        <v>1</v>
      </c>
      <c r="F4" s="4">
        <f>C4/(C4+D4)</f>
        <v/>
      </c>
      <c r="G4" s="3" t="n">
        <v>47</v>
      </c>
      <c r="H4" s="3" t="n">
        <v>60</v>
      </c>
      <c r="I4" s="3" t="n">
        <v>0</v>
      </c>
      <c r="J4" s="4">
        <f>G4/(G4+H4)</f>
        <v/>
      </c>
      <c r="K4" s="3" t="n">
        <v>107</v>
      </c>
    </row>
    <row r="5">
      <c r="A5" t="inlineStr">
        <is>
          <t>1-2</t>
        </is>
      </c>
      <c r="B5" t="inlineStr">
        <is>
          <t>1</t>
        </is>
      </c>
      <c r="C5" s="3" t="n">
        <v>91</v>
      </c>
      <c r="D5" s="3" t="n">
        <v>97</v>
      </c>
      <c r="E5" s="3" t="n">
        <v>1</v>
      </c>
      <c r="F5" s="4">
        <f>C5/(C5+D5)</f>
        <v/>
      </c>
      <c r="G5" s="3" t="n">
        <v>81</v>
      </c>
      <c r="H5" s="3" t="n">
        <v>106</v>
      </c>
      <c r="I5" s="3" t="n">
        <v>2</v>
      </c>
      <c r="J5" s="4">
        <f>G5/(G5+H5)</f>
        <v/>
      </c>
      <c r="K5" s="3" t="n">
        <v>189</v>
      </c>
    </row>
    <row r="6">
      <c r="A6" t="inlineStr">
        <is>
          <t>1-3</t>
        </is>
      </c>
      <c r="B6" t="inlineStr">
        <is>
          <t>1</t>
        </is>
      </c>
      <c r="C6" s="3" t="n">
        <v>100</v>
      </c>
      <c r="D6" s="3" t="n">
        <v>107</v>
      </c>
      <c r="E6" s="3" t="n">
        <v>0</v>
      </c>
      <c r="F6" s="4">
        <f>C6/(C6+D6)</f>
        <v/>
      </c>
      <c r="G6" s="3" t="n">
        <v>87</v>
      </c>
      <c r="H6" s="3" t="n">
        <v>117</v>
      </c>
      <c r="I6" s="3" t="n">
        <v>3</v>
      </c>
      <c r="J6" s="4">
        <f>G6/(G6+H6)</f>
        <v/>
      </c>
      <c r="K6" s="3" t="n">
        <v>207</v>
      </c>
    </row>
    <row r="7">
      <c r="A7" t="inlineStr">
        <is>
          <t>2-1</t>
        </is>
      </c>
      <c r="B7" t="inlineStr">
        <is>
          <t>2</t>
        </is>
      </c>
      <c r="C7" s="3" t="n">
        <v>113</v>
      </c>
      <c r="D7" s="3" t="n">
        <v>83</v>
      </c>
      <c r="E7" s="3" t="n">
        <v>0</v>
      </c>
      <c r="F7" s="4">
        <f>C7/(C7+D7)</f>
        <v/>
      </c>
      <c r="G7" s="3" t="n">
        <v>103</v>
      </c>
      <c r="H7" s="3" t="n">
        <v>88</v>
      </c>
      <c r="I7" s="3" t="n">
        <v>5</v>
      </c>
      <c r="J7" s="4">
        <f>G7/(G7+H7)</f>
        <v/>
      </c>
      <c r="K7" s="3" t="n">
        <v>196</v>
      </c>
    </row>
    <row r="8">
      <c r="A8" t="inlineStr">
        <is>
          <t>2-2</t>
        </is>
      </c>
      <c r="B8" t="inlineStr">
        <is>
          <t>2</t>
        </is>
      </c>
      <c r="C8" s="3" t="n">
        <v>76</v>
      </c>
      <c r="D8" s="3" t="n">
        <v>128</v>
      </c>
      <c r="E8" s="3" t="n">
        <v>2</v>
      </c>
      <c r="F8" s="4">
        <f>C8/(C8+D8)</f>
        <v/>
      </c>
      <c r="G8" s="3" t="n">
        <v>65</v>
      </c>
      <c r="H8" s="3" t="n">
        <v>139</v>
      </c>
      <c r="I8" s="3" t="n">
        <v>2</v>
      </c>
      <c r="J8" s="4">
        <f>G8/(G8+H8)</f>
        <v/>
      </c>
      <c r="K8" s="3" t="n">
        <v>206</v>
      </c>
    </row>
    <row r="9">
      <c r="A9" t="inlineStr">
        <is>
          <t>2-3</t>
        </is>
      </c>
      <c r="B9" t="inlineStr">
        <is>
          <t>2</t>
        </is>
      </c>
      <c r="C9" s="3" t="n">
        <v>92</v>
      </c>
      <c r="D9" s="3" t="n">
        <v>174</v>
      </c>
      <c r="E9" s="3" t="n">
        <v>1</v>
      </c>
      <c r="F9" s="4">
        <f>C9/(C9+D9)</f>
        <v/>
      </c>
      <c r="G9" s="3" t="n">
        <v>82</v>
      </c>
      <c r="H9" s="3" t="n">
        <v>182</v>
      </c>
      <c r="I9" s="3" t="n">
        <v>3</v>
      </c>
      <c r="J9" s="4">
        <f>G9/(G9+H9)</f>
        <v/>
      </c>
      <c r="K9" s="3" t="n">
        <v>267</v>
      </c>
    </row>
    <row r="10">
      <c r="A10" t="inlineStr">
        <is>
          <t>3-1</t>
        </is>
      </c>
      <c r="B10" t="inlineStr">
        <is>
          <t>3</t>
        </is>
      </c>
      <c r="C10" s="3" t="n">
        <v>130</v>
      </c>
      <c r="D10" s="3" t="n">
        <v>83</v>
      </c>
      <c r="E10" s="3" t="n">
        <v>2</v>
      </c>
      <c r="F10" s="4">
        <f>C10/(C10+D10)</f>
        <v/>
      </c>
      <c r="G10" s="3" t="n">
        <v>118</v>
      </c>
      <c r="H10" s="3" t="n">
        <v>97</v>
      </c>
      <c r="I10" s="3" t="n">
        <v>0</v>
      </c>
      <c r="J10" s="4">
        <f>G10/(G10+H10)</f>
        <v/>
      </c>
      <c r="K10" s="3" t="n">
        <v>215</v>
      </c>
    </row>
    <row r="11">
      <c r="A11" t="inlineStr">
        <is>
          <t>3-2</t>
        </is>
      </c>
      <c r="B11" t="inlineStr">
        <is>
          <t>3</t>
        </is>
      </c>
      <c r="C11" s="3" t="n">
        <v>108</v>
      </c>
      <c r="D11" s="3" t="n">
        <v>114</v>
      </c>
      <c r="E11" s="3" t="n">
        <v>3</v>
      </c>
      <c r="F11" s="4">
        <f>C11/(C11+D11)</f>
        <v/>
      </c>
      <c r="G11" s="3" t="n">
        <v>100</v>
      </c>
      <c r="H11" s="3" t="n">
        <v>124</v>
      </c>
      <c r="I11" s="3" t="n">
        <v>1</v>
      </c>
      <c r="J11" s="4">
        <f>G11/(G11+H11)</f>
        <v/>
      </c>
      <c r="K11" s="3" t="n">
        <v>225</v>
      </c>
    </row>
    <row r="12">
      <c r="A12" t="inlineStr">
        <is>
          <t>3-3</t>
        </is>
      </c>
      <c r="B12" t="inlineStr">
        <is>
          <t>3</t>
        </is>
      </c>
      <c r="C12" s="3" t="n">
        <v>241</v>
      </c>
      <c r="D12" s="3" t="n">
        <v>182</v>
      </c>
      <c r="E12" s="3" t="n">
        <v>6</v>
      </c>
      <c r="F12" s="4">
        <f>C12/(C12+D12)</f>
        <v/>
      </c>
      <c r="G12" s="3" t="n">
        <v>224</v>
      </c>
      <c r="H12" s="3" t="n">
        <v>198</v>
      </c>
      <c r="I12" s="3" t="n">
        <v>7</v>
      </c>
      <c r="J12" s="4">
        <f>G12/(G12+H12)</f>
        <v/>
      </c>
      <c r="K12" s="3" t="n">
        <v>429</v>
      </c>
    </row>
    <row r="13">
      <c r="A13" t="inlineStr">
        <is>
          <t>3-1A</t>
        </is>
      </c>
      <c r="B13" t="inlineStr">
        <is>
          <t>3</t>
        </is>
      </c>
      <c r="C13" s="3" t="n">
        <v>182</v>
      </c>
      <c r="D13" s="3" t="n">
        <v>126</v>
      </c>
      <c r="E13" s="3" t="n">
        <v>2</v>
      </c>
      <c r="F13" s="4">
        <f>C13/(C13+D13)</f>
        <v/>
      </c>
      <c r="G13" s="3" t="n">
        <v>169</v>
      </c>
      <c r="H13" s="3" t="n">
        <v>139</v>
      </c>
      <c r="I13" s="3" t="n">
        <v>2</v>
      </c>
      <c r="J13" s="4">
        <f>G13/(G13+H13)</f>
        <v/>
      </c>
      <c r="K13" s="3" t="n">
        <v>310</v>
      </c>
    </row>
    <row r="14">
      <c r="A14" t="inlineStr">
        <is>
          <t>4-1</t>
        </is>
      </c>
      <c r="B14" t="inlineStr">
        <is>
          <t>4</t>
        </is>
      </c>
      <c r="C14" s="3" t="n">
        <v>92</v>
      </c>
      <c r="D14" s="3" t="n">
        <v>77</v>
      </c>
      <c r="E14" s="3" t="n">
        <v>4</v>
      </c>
      <c r="F14" s="4">
        <f>C14/(C14+D14)</f>
        <v/>
      </c>
      <c r="G14" s="3" t="n">
        <v>83</v>
      </c>
      <c r="H14" s="3" t="n">
        <v>90</v>
      </c>
      <c r="I14" s="3" t="n">
        <v>0</v>
      </c>
      <c r="J14" s="4">
        <f>G14/(G14+H14)</f>
        <v/>
      </c>
      <c r="K14" s="3" t="n">
        <v>173</v>
      </c>
    </row>
    <row r="15">
      <c r="A15" t="inlineStr">
        <is>
          <t>4-2</t>
        </is>
      </c>
      <c r="B15" t="inlineStr">
        <is>
          <t>4</t>
        </is>
      </c>
      <c r="C15" s="3" t="n">
        <v>78</v>
      </c>
      <c r="D15" s="3" t="n">
        <v>25</v>
      </c>
      <c r="E15" s="3" t="n">
        <v>3</v>
      </c>
      <c r="F15" s="4">
        <f>C15/(C15+D15)</f>
        <v/>
      </c>
      <c r="G15" s="3" t="n">
        <v>70</v>
      </c>
      <c r="H15" s="3" t="n">
        <v>36</v>
      </c>
      <c r="I15" s="3" t="n">
        <v>0</v>
      </c>
      <c r="J15" s="4">
        <f>G15/(G15+H15)</f>
        <v/>
      </c>
      <c r="K15" s="3" t="n">
        <v>106</v>
      </c>
    </row>
    <row r="16">
      <c r="A16" t="inlineStr">
        <is>
          <t>4-3</t>
        </is>
      </c>
      <c r="B16" t="inlineStr">
        <is>
          <t>4</t>
        </is>
      </c>
      <c r="C16" s="3" t="n">
        <v>146</v>
      </c>
      <c r="D16" s="3" t="n">
        <v>68</v>
      </c>
      <c r="E16" s="3" t="n">
        <v>0</v>
      </c>
      <c r="F16" s="4">
        <f>C16/(C16+D16)</f>
        <v/>
      </c>
      <c r="G16" s="3" t="n">
        <v>134</v>
      </c>
      <c r="H16" s="3" t="n">
        <v>78</v>
      </c>
      <c r="I16" s="3" t="n">
        <v>2</v>
      </c>
      <c r="J16" s="4">
        <f>G16/(G16+H16)</f>
        <v/>
      </c>
      <c r="K16" s="3" t="n">
        <v>214</v>
      </c>
    </row>
    <row r="17">
      <c r="A17" t="inlineStr">
        <is>
          <t>5-1</t>
        </is>
      </c>
      <c r="B17" t="inlineStr">
        <is>
          <t>5</t>
        </is>
      </c>
      <c r="C17" s="3" t="n">
        <v>116</v>
      </c>
      <c r="D17" s="3" t="n">
        <v>117</v>
      </c>
      <c r="E17" s="3" t="n">
        <v>1</v>
      </c>
      <c r="F17" s="4">
        <f>C17/(C17+D17)</f>
        <v/>
      </c>
      <c r="G17" s="3" t="n">
        <v>102</v>
      </c>
      <c r="H17" s="3" t="n">
        <v>131</v>
      </c>
      <c r="I17" s="3" t="n">
        <v>1</v>
      </c>
      <c r="J17" s="4">
        <f>G17/(G17+H17)</f>
        <v/>
      </c>
      <c r="K17" s="3" t="n">
        <v>234</v>
      </c>
    </row>
    <row r="18">
      <c r="A18" t="inlineStr">
        <is>
          <t>5-2</t>
        </is>
      </c>
      <c r="B18" t="inlineStr">
        <is>
          <t>5</t>
        </is>
      </c>
      <c r="C18" s="3" t="n">
        <v>254</v>
      </c>
      <c r="D18" s="3" t="n">
        <v>256</v>
      </c>
      <c r="E18" s="3" t="n">
        <v>4</v>
      </c>
      <c r="F18" s="4">
        <f>C18/(C18+D18)</f>
        <v/>
      </c>
      <c r="G18" s="3" t="n">
        <v>229</v>
      </c>
      <c r="H18" s="3" t="n">
        <v>283</v>
      </c>
      <c r="I18" s="3" t="n">
        <v>2</v>
      </c>
      <c r="J18" s="4">
        <f>G18/(G18+H18)</f>
        <v/>
      </c>
      <c r="K18" s="3" t="n">
        <v>514</v>
      </c>
    </row>
    <row r="19">
      <c r="A19" t="inlineStr">
        <is>
          <t>5-3</t>
        </is>
      </c>
      <c r="B19" t="inlineStr">
        <is>
          <t>5</t>
        </is>
      </c>
      <c r="C19" s="3" t="n">
        <v>87</v>
      </c>
      <c r="D19" s="3" t="n">
        <v>63</v>
      </c>
      <c r="E19" s="3" t="n">
        <v>1</v>
      </c>
      <c r="F19" s="4">
        <f>C19/(C19+D19)</f>
        <v/>
      </c>
      <c r="G19" s="3" t="n">
        <v>82</v>
      </c>
      <c r="H19" s="3" t="n">
        <v>68</v>
      </c>
      <c r="I19" s="3" t="n">
        <v>1</v>
      </c>
      <c r="J19" s="4">
        <f>G19/(G19+H19)</f>
        <v/>
      </c>
      <c r="K19" s="3" t="n">
        <v>151</v>
      </c>
    </row>
    <row r="20">
      <c r="A20" t="inlineStr">
        <is>
          <t>5-3A</t>
        </is>
      </c>
      <c r="B20" t="inlineStr">
        <is>
          <t>5</t>
        </is>
      </c>
      <c r="C20" s="3" t="n">
        <v>95</v>
      </c>
      <c r="D20" s="3" t="n">
        <v>86</v>
      </c>
      <c r="E20" s="3" t="n">
        <v>3</v>
      </c>
      <c r="F20" s="4">
        <f>C20/(C20+D20)</f>
        <v/>
      </c>
      <c r="G20" s="3" t="n">
        <v>85</v>
      </c>
      <c r="H20" s="3" t="n">
        <v>98</v>
      </c>
      <c r="I20" s="3" t="n">
        <v>1</v>
      </c>
      <c r="J20" s="4">
        <f>G20/(G20+H20)</f>
        <v/>
      </c>
      <c r="K20" s="3" t="n">
        <v>184</v>
      </c>
    </row>
    <row r="21">
      <c r="A21" t="inlineStr">
        <is>
          <t>6-1</t>
        </is>
      </c>
      <c r="B21" t="inlineStr">
        <is>
          <t>6</t>
        </is>
      </c>
      <c r="C21" s="3" t="n">
        <v>196</v>
      </c>
      <c r="D21" s="3" t="n">
        <v>232</v>
      </c>
      <c r="E21" s="3" t="n">
        <v>5</v>
      </c>
      <c r="F21" s="4">
        <f>C21/(C21+D21)</f>
        <v/>
      </c>
      <c r="G21" s="3" t="n">
        <v>175</v>
      </c>
      <c r="H21" s="3" t="n">
        <v>254</v>
      </c>
      <c r="I21" s="3" t="n">
        <v>4</v>
      </c>
      <c r="J21" s="4">
        <f>G21/(G21+H21)</f>
        <v/>
      </c>
      <c r="K21" s="3" t="n">
        <v>433</v>
      </c>
    </row>
    <row r="22">
      <c r="A22" t="inlineStr">
        <is>
          <t>6-2</t>
        </is>
      </c>
      <c r="B22" t="inlineStr">
        <is>
          <t>6</t>
        </is>
      </c>
      <c r="C22" s="3" t="n">
        <v>84</v>
      </c>
      <c r="D22" s="3" t="n">
        <v>125</v>
      </c>
      <c r="E22" s="3" t="n">
        <v>0</v>
      </c>
      <c r="F22" s="4">
        <f>C22/(C22+D22)</f>
        <v/>
      </c>
      <c r="G22" s="3" t="n">
        <v>74</v>
      </c>
      <c r="H22" s="3" t="n">
        <v>134</v>
      </c>
      <c r="I22" s="3" t="n">
        <v>1</v>
      </c>
      <c r="J22" s="4">
        <f>G22/(G22+H22)</f>
        <v/>
      </c>
      <c r="K22" s="3" t="n">
        <v>209</v>
      </c>
    </row>
    <row r="23">
      <c r="A23" t="inlineStr">
        <is>
          <t>6-3</t>
        </is>
      </c>
      <c r="B23" t="inlineStr">
        <is>
          <t>6</t>
        </is>
      </c>
      <c r="C23" s="3" t="n">
        <v>98</v>
      </c>
      <c r="D23" s="3" t="n">
        <v>167</v>
      </c>
      <c r="E23" s="3" t="n">
        <v>1</v>
      </c>
      <c r="F23" s="4">
        <f>C23/(C23+D23)</f>
        <v/>
      </c>
      <c r="G23" s="3" t="n">
        <v>75</v>
      </c>
      <c r="H23" s="3" t="n">
        <v>190</v>
      </c>
      <c r="I23" s="3" t="n">
        <v>1</v>
      </c>
      <c r="J23" s="4">
        <f>G23/(G23+H23)</f>
        <v/>
      </c>
      <c r="K23" s="3" t="n">
        <v>266</v>
      </c>
    </row>
    <row r="24">
      <c r="A24" t="inlineStr">
        <is>
          <t>7-1</t>
        </is>
      </c>
      <c r="B24" t="inlineStr">
        <is>
          <t>7</t>
        </is>
      </c>
      <c r="C24" s="3" t="n">
        <v>49</v>
      </c>
      <c r="D24" s="3" t="n">
        <v>62</v>
      </c>
      <c r="E24" s="3" t="n">
        <v>1</v>
      </c>
      <c r="F24" s="4">
        <f>C24/(C24+D24)</f>
        <v/>
      </c>
      <c r="G24" s="3" t="n">
        <v>42</v>
      </c>
      <c r="H24" s="3" t="n">
        <v>68</v>
      </c>
      <c r="I24" s="3" t="n">
        <v>2</v>
      </c>
      <c r="J24" s="4">
        <f>G24/(G24+H24)</f>
        <v/>
      </c>
      <c r="K24" s="3" t="n">
        <v>112</v>
      </c>
    </row>
    <row r="25">
      <c r="A25" t="inlineStr">
        <is>
          <t>7-2</t>
        </is>
      </c>
      <c r="B25" t="inlineStr">
        <is>
          <t>7</t>
        </is>
      </c>
      <c r="C25" s="3" t="n">
        <v>62</v>
      </c>
      <c r="D25" s="3" t="n">
        <v>84</v>
      </c>
      <c r="E25" s="3" t="n">
        <v>0</v>
      </c>
      <c r="F25" s="4">
        <f>C25/(C25+D25)</f>
        <v/>
      </c>
      <c r="G25" s="3" t="n">
        <v>55</v>
      </c>
      <c r="H25" s="3" t="n">
        <v>91</v>
      </c>
      <c r="I25" s="3" t="n">
        <v>0</v>
      </c>
      <c r="J25" s="4">
        <f>G25/(G25+H25)</f>
        <v/>
      </c>
      <c r="K25" s="3" t="n">
        <v>146</v>
      </c>
    </row>
    <row r="26">
      <c r="A26" t="inlineStr">
        <is>
          <t>7-3</t>
        </is>
      </c>
      <c r="B26" t="inlineStr">
        <is>
          <t>7</t>
        </is>
      </c>
      <c r="C26" s="3" t="n">
        <v>40</v>
      </c>
      <c r="D26" s="3" t="n">
        <v>76</v>
      </c>
      <c r="E26" s="3" t="n">
        <v>0</v>
      </c>
      <c r="F26" s="4">
        <f>C26/(C26+D26)</f>
        <v/>
      </c>
      <c r="G26" s="3" t="n">
        <v>37</v>
      </c>
      <c r="H26" s="3" t="n">
        <v>78</v>
      </c>
      <c r="I26" s="3" t="n">
        <v>1</v>
      </c>
      <c r="J26" s="4">
        <f>G26/(G26+H26)</f>
        <v/>
      </c>
      <c r="K26" s="3" t="n">
        <v>116</v>
      </c>
    </row>
    <row r="27">
      <c r="A27" t="inlineStr">
        <is>
          <t>7-3A</t>
        </is>
      </c>
      <c r="B27" t="inlineStr">
        <is>
          <t>7</t>
        </is>
      </c>
      <c r="C27" s="3" t="n">
        <v>42</v>
      </c>
      <c r="D27" s="3" t="n">
        <v>37</v>
      </c>
      <c r="E27" s="3" t="n">
        <v>2</v>
      </c>
      <c r="F27" s="4">
        <f>C27/(C27+D27)</f>
        <v/>
      </c>
      <c r="G27" s="3" t="n">
        <v>36</v>
      </c>
      <c r="H27" s="3" t="n">
        <v>41</v>
      </c>
      <c r="I27" s="3" t="n">
        <v>4</v>
      </c>
      <c r="J27" s="4">
        <f>G27/(G27+H27)</f>
        <v/>
      </c>
      <c r="K27" s="3" t="n">
        <v>81</v>
      </c>
    </row>
    <row r="28">
      <c r="A28" t="inlineStr">
        <is>
          <t>8-1</t>
        </is>
      </c>
      <c r="B28" t="inlineStr">
        <is>
          <t>8</t>
        </is>
      </c>
      <c r="C28" s="3" t="n">
        <v>93</v>
      </c>
      <c r="D28" s="3" t="n">
        <v>179</v>
      </c>
      <c r="E28" s="3" t="n">
        <v>4</v>
      </c>
      <c r="F28" s="4">
        <f>C28/(C28+D28)</f>
        <v/>
      </c>
      <c r="G28" s="3" t="n">
        <v>85</v>
      </c>
      <c r="H28" s="3" t="n">
        <v>187</v>
      </c>
      <c r="I28" s="3" t="n">
        <v>4</v>
      </c>
      <c r="J28" s="4">
        <f>G28/(G28+H28)</f>
        <v/>
      </c>
      <c r="K28" s="3" t="n">
        <v>276</v>
      </c>
    </row>
    <row r="29">
      <c r="A29" t="inlineStr">
        <is>
          <t>8-2</t>
        </is>
      </c>
      <c r="B29" t="inlineStr">
        <is>
          <t>8</t>
        </is>
      </c>
      <c r="C29" s="3" t="n">
        <v>50</v>
      </c>
      <c r="D29" s="3" t="n">
        <v>53</v>
      </c>
      <c r="E29" s="3" t="n">
        <v>1</v>
      </c>
      <c r="F29" s="4">
        <f>C29/(C29+D29)</f>
        <v/>
      </c>
      <c r="G29" s="3" t="n">
        <v>41</v>
      </c>
      <c r="H29" s="3" t="n">
        <v>63</v>
      </c>
      <c r="I29" s="3" t="n">
        <v>0</v>
      </c>
      <c r="J29" s="4">
        <f>G29/(G29+H29)</f>
        <v/>
      </c>
      <c r="K29" s="3" t="n">
        <v>104</v>
      </c>
    </row>
    <row r="30">
      <c r="A30" t="inlineStr">
        <is>
          <t>8-3</t>
        </is>
      </c>
      <c r="B30" t="inlineStr">
        <is>
          <t>8</t>
        </is>
      </c>
      <c r="C30" s="3" t="n">
        <v>49</v>
      </c>
      <c r="D30" s="3" t="n">
        <v>77</v>
      </c>
      <c r="E30" s="3" t="n">
        <v>0</v>
      </c>
      <c r="F30" s="4">
        <f>C30/(C30+D30)</f>
        <v/>
      </c>
      <c r="G30" s="3" t="n">
        <v>42</v>
      </c>
      <c r="H30" s="3" t="n">
        <v>84</v>
      </c>
      <c r="I30" s="3" t="n">
        <v>0</v>
      </c>
      <c r="J30" s="4">
        <f>G30/(G30+H30)</f>
        <v/>
      </c>
      <c r="K30" s="3" t="n">
        <v>126</v>
      </c>
    </row>
    <row r="31">
      <c r="A31" s="5" t="inlineStr">
        <is>
          <t>TOTAL</t>
        </is>
      </c>
      <c r="B31" s="5" t="n"/>
      <c r="C31" s="6">
        <f>SUM(C4:C30)</f>
        <v/>
      </c>
      <c r="D31" s="6">
        <f>SUM(D4:D30)</f>
        <v/>
      </c>
      <c r="E31" s="6">
        <f>SUM(E4:E30)</f>
        <v/>
      </c>
      <c r="F31" s="7">
        <f>C31/(C31+D31)</f>
        <v/>
      </c>
      <c r="G31" s="6">
        <f>SUM(G4:G30)</f>
        <v/>
      </c>
      <c r="H31" s="6">
        <f>SUM(H4:H30)</f>
        <v/>
      </c>
      <c r="I31" s="6">
        <f>SUM(I4:I30)</f>
        <v/>
      </c>
      <c r="J31" s="7">
        <f>G31/(G31+H31)</f>
        <v/>
      </c>
      <c r="K31" s="6">
        <f>SUM(K4:K30)</f>
        <v/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</cols>
  <sheetData>
    <row r="1">
      <c r="A1" s="1" t="inlineStr">
        <is>
          <t>March 31, 2026 Malden Prop 2½ Override — Combined Results by Ward</t>
        </is>
      </c>
    </row>
    <row r="2">
      <c r="A2" t="inlineStr">
        <is>
          <t>YES % is calculated as YES / (YES + NO), excluding blank ballots.</t>
        </is>
      </c>
    </row>
    <row r="3">
      <c r="A3" s="8" t="inlineStr">
        <is>
          <t>Ward</t>
        </is>
      </c>
      <c r="B3" s="8" t="inlineStr">
        <is>
          <t>Q1A Yes</t>
        </is>
      </c>
      <c r="C3" s="8" t="inlineStr">
        <is>
          <t>Q1A No</t>
        </is>
      </c>
      <c r="D3" s="8" t="inlineStr">
        <is>
          <t>Q1A Blank</t>
        </is>
      </c>
      <c r="E3" s="8" t="inlineStr">
        <is>
          <t>Q1A Yes %</t>
        </is>
      </c>
      <c r="F3" s="8" t="inlineStr">
        <is>
          <t>Q1B Yes</t>
        </is>
      </c>
      <c r="G3" s="8" t="inlineStr">
        <is>
          <t>Q1B No</t>
        </is>
      </c>
      <c r="H3" s="8" t="inlineStr">
        <is>
          <t>Q1B Blank</t>
        </is>
      </c>
      <c r="I3" s="8" t="inlineStr">
        <is>
          <t>Q1B Yes %</t>
        </is>
      </c>
    </row>
    <row r="4">
      <c r="A4" t="inlineStr">
        <is>
          <t>1</t>
        </is>
      </c>
      <c r="B4" t="n">
        <v>239</v>
      </c>
      <c r="C4" t="n">
        <v>262</v>
      </c>
      <c r="D4" t="n">
        <v>2</v>
      </c>
      <c r="E4" s="4">
        <f>B4/(B4+C4)</f>
        <v/>
      </c>
      <c r="F4" t="n">
        <v>215</v>
      </c>
      <c r="G4" t="n">
        <v>283</v>
      </c>
      <c r="H4" t="n">
        <v>5</v>
      </c>
      <c r="I4" s="4">
        <f>F4/(F4+G4)</f>
        <v/>
      </c>
    </row>
    <row r="5">
      <c r="A5" t="inlineStr">
        <is>
          <t>2</t>
        </is>
      </c>
      <c r="B5" t="n">
        <v>281</v>
      </c>
      <c r="C5" t="n">
        <v>385</v>
      </c>
      <c r="D5" t="n">
        <v>3</v>
      </c>
      <c r="E5" s="4">
        <f>B5/(B5+C5)</f>
        <v/>
      </c>
      <c r="F5" t="n">
        <v>250</v>
      </c>
      <c r="G5" t="n">
        <v>409</v>
      </c>
      <c r="H5" t="n">
        <v>10</v>
      </c>
      <c r="I5" s="4">
        <f>F5/(F5+G5)</f>
        <v/>
      </c>
    </row>
    <row r="6">
      <c r="A6" t="inlineStr">
        <is>
          <t>3</t>
        </is>
      </c>
      <c r="B6" t="n">
        <v>661</v>
      </c>
      <c r="C6" t="n">
        <v>505</v>
      </c>
      <c r="D6" t="n">
        <v>13</v>
      </c>
      <c r="E6" s="4">
        <f>B6/(B6+C6)</f>
        <v/>
      </c>
      <c r="F6" t="n">
        <v>611</v>
      </c>
      <c r="G6" t="n">
        <v>558</v>
      </c>
      <c r="H6" t="n">
        <v>10</v>
      </c>
      <c r="I6" s="4">
        <f>F6/(F6+G6)</f>
        <v/>
      </c>
    </row>
    <row r="7">
      <c r="A7" t="inlineStr">
        <is>
          <t>4</t>
        </is>
      </c>
      <c r="B7" t="n">
        <v>316</v>
      </c>
      <c r="C7" t="n">
        <v>170</v>
      </c>
      <c r="D7" t="n">
        <v>7</v>
      </c>
      <c r="E7" s="4">
        <f>B7/(B7+C7)</f>
        <v/>
      </c>
      <c r="F7" t="n">
        <v>287</v>
      </c>
      <c r="G7" t="n">
        <v>204</v>
      </c>
      <c r="H7" t="n">
        <v>2</v>
      </c>
      <c r="I7" s="4">
        <f>F7/(F7+G7)</f>
        <v/>
      </c>
    </row>
    <row r="8">
      <c r="A8" t="inlineStr">
        <is>
          <t>5</t>
        </is>
      </c>
      <c r="B8" t="n">
        <v>552</v>
      </c>
      <c r="C8" t="n">
        <v>522</v>
      </c>
      <c r="D8" t="n">
        <v>9</v>
      </c>
      <c r="E8" s="4">
        <f>B8/(B8+C8)</f>
        <v/>
      </c>
      <c r="F8" t="n">
        <v>498</v>
      </c>
      <c r="G8" t="n">
        <v>580</v>
      </c>
      <c r="H8" t="n">
        <v>5</v>
      </c>
      <c r="I8" s="4">
        <f>F8/(F8+G8)</f>
        <v/>
      </c>
    </row>
    <row r="9">
      <c r="A9" t="inlineStr">
        <is>
          <t>6</t>
        </is>
      </c>
      <c r="B9" t="n">
        <v>378</v>
      </c>
      <c r="C9" t="n">
        <v>524</v>
      </c>
      <c r="D9" t="n">
        <v>6</v>
      </c>
      <c r="E9" s="4">
        <f>B9/(B9+C9)</f>
        <v/>
      </c>
      <c r="F9" t="n">
        <v>324</v>
      </c>
      <c r="G9" t="n">
        <v>578</v>
      </c>
      <c r="H9" t="n">
        <v>6</v>
      </c>
      <c r="I9" s="4">
        <f>F9/(F9+G9)</f>
        <v/>
      </c>
    </row>
    <row r="10">
      <c r="A10" t="inlineStr">
        <is>
          <t>7</t>
        </is>
      </c>
      <c r="B10" t="n">
        <v>193</v>
      </c>
      <c r="C10" t="n">
        <v>259</v>
      </c>
      <c r="D10" t="n">
        <v>3</v>
      </c>
      <c r="E10" s="4">
        <f>B10/(B10+C10)</f>
        <v/>
      </c>
      <c r="F10" t="n">
        <v>170</v>
      </c>
      <c r="G10" t="n">
        <v>278</v>
      </c>
      <c r="H10" t="n">
        <v>7</v>
      </c>
      <c r="I10" s="4">
        <f>F10/(F10+G10)</f>
        <v/>
      </c>
    </row>
    <row r="11">
      <c r="A11" t="inlineStr">
        <is>
          <t>8</t>
        </is>
      </c>
      <c r="B11" t="n">
        <v>192</v>
      </c>
      <c r="C11" t="n">
        <v>309</v>
      </c>
      <c r="D11" t="n">
        <v>5</v>
      </c>
      <c r="E11" s="4">
        <f>B11/(B11+C11)</f>
        <v/>
      </c>
      <c r="F11" t="n">
        <v>168</v>
      </c>
      <c r="G11" t="n">
        <v>334</v>
      </c>
      <c r="H11" t="n">
        <v>4</v>
      </c>
      <c r="I11" s="4">
        <f>F11/(F11+G11)</f>
        <v/>
      </c>
    </row>
    <row r="12">
      <c r="A12" s="5" t="inlineStr">
        <is>
          <t>TOTAL</t>
        </is>
      </c>
      <c r="B12" s="5">
        <f>SUM(B4:B11)</f>
        <v/>
      </c>
      <c r="C12" s="5">
        <f>SUM(C4:C11)</f>
        <v/>
      </c>
      <c r="D12" s="5">
        <f>SUM(D4:D11)</f>
        <v/>
      </c>
      <c r="E12" s="7">
        <f>B12/(B12+C12)</f>
        <v/>
      </c>
      <c r="F12" s="5">
        <f>SUM(F4:F11)</f>
        <v/>
      </c>
      <c r="G12" s="5">
        <f>SUM(G4:G11)</f>
        <v/>
      </c>
      <c r="H12" s="5">
        <f>SUM(H4:H11)</f>
        <v/>
      </c>
      <c r="I12" s="7">
        <f>F12/(F12+G12)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2026-04-01T23:53:53Z</dcterms:created>
  <dcterms:modified xmlns:dcterms="http://purl.org/dc/terms/" xmlns:xsi="http://www.w3.org/2001/XMLSchema-instance" xsi:type="dcterms:W3CDTF">2026-04-01T23:53:53Z</dcterms:modified>
</cp:coreProperties>
</file>